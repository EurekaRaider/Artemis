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220e05e9a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明细" sheetId="1" r:id="R7ca7e4b904a04cae"/>
    <x:sheet xmlns:r="http://schemas.openxmlformats.org/officeDocument/2006/relationships" name="基准对照" sheetId="2" r:id="R9a67863c2d32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@"/>
    <x:numFmt numFmtId="202" formatCode="yyyy-mm-dd"/>
    <x:numFmt numFmtId="203" formatCode="0"/>
  </x:numFmts>
  <x:fonts count="8">
    <x:font>
      <x:sz val="11"/>
      <x:name val="Carlito"/>
    </x:font>
    <x:font>
      <x:sz val="11"/>
      <x:color rgb="FF202A38"/>
      <x:name val="Arial"/>
    </x:font>
    <x:font>
      <x:b/>
      <x:sz val="16"/>
      <x:color rgb="FF172B44"/>
      <x:name val="Arial"/>
    </x:font>
    <x:font>
      <x:b/>
      <x:sz val="14"/>
      <x:color rgb="FF202A38"/>
      <x:name val="Arial"/>
    </x:font>
    <x:font>
      <x:b/>
      <x:sz val="11"/>
      <x:color rgb="FFFFFFFF"/>
      <x:name val="Arial"/>
    </x:font>
    <x:font>
      <x:sz val="11"/>
      <x:color rgb="FF165EB1"/>
      <x:name val="Arial"/>
    </x:font>
    <x:font>
      <x:b/>
      <x:sz val="11"/>
      <x:color rgb="FF202A38"/>
      <x:name val="Arial"/>
    </x:font>
    <x:font>
      <x:sz val="10"/>
      <x:color rgb="FF63738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A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AAB7C5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203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203" fontId="6" fillId="0" borderId="4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895200"/>
      </x:font>
      <x:fill>
        <x:patternFill patternType="solid">
          <x:bgColor rgb="FFFFF2D6"/>
        </x:patternFill>
      </x:fill>
    </x:dxf>
    <x:dxf>
      <x:font>
        <x:color rgb="FF895200"/>
      </x:font>
      <x:fill>
        <x:patternFill patternType="solid">
          <x:bgColor rgb="FFFFF2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e903ec245432f" /><Relationship Type="http://schemas.openxmlformats.org/officeDocument/2006/relationships/theme" Target="/xl/theme/theme1.xml" Id="R0d1cd4d176cc4940" /><Relationship Type="http://schemas.openxmlformats.org/officeDocument/2006/relationships/sharedStrings" Target="/xl/sharedStrings.xml" Id="R78f89dfa08fc49d4" /><Relationship Type="http://schemas.openxmlformats.org/officeDocument/2006/relationships/worksheet" Target="/xl/worksheets/sheet1.xml" Id="R7ca7e4b904a04cae" /><Relationship Type="http://schemas.openxmlformats.org/officeDocument/2006/relationships/worksheet" Target="/xl/worksheets/sheet2.xml" Id="R9a67863c2d324f9b" /></Relationships>
</file>

<file path=xl/tables/table1.xml><?xml version="1.0" encoding="utf-8"?>
<x:table xmlns:x="http://schemas.openxmlformats.org/spreadsheetml/2006/main" id="1" name="OfficeTestData" displayName="OfficeTestData" ref="A7:H15" headerRowCount="1" totalsRowCount="0" totalsRowShown="0">
  <x:tableColumns count="8">
    <x:tableColumn id="1" name="编码"/>
    <x:tableColumn id="2" name="物料"/>
    <x:tableColumn id="3" name="日期"/>
    <x:tableColumn id="4" name="数量"/>
    <x:tableColumn id="5" name="单价（元）"/>
    <x:tableColumn id="6" name="金额（元）"/>
    <x:tableColumn id="7" name="验收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9b916972a64223" /></Relationships>
</file>

<file path=xl/worksheets/sheet1.xml><?xml version="1.0" encoding="utf-8"?>
<x:worksheet xmlns:x="http://schemas.openxmlformats.org/spreadsheetml/2006/main">
  <x:sheetPr>
    <x:tabColor rgb="FF243D5A"/>
    <x:pageSetUpPr fitToPage="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16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28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</x:row>
    <x:row r="2" ht="35" customHeight="1">
      <x:c r="A2" s="3" t="str">
        <x:v>Office 采购验证数据</x:v>
      </x:c>
      <x:c r="B2" s="3"/>
      <x:c r="C2" s="3"/>
      <x:c r="D2" s="3"/>
      <x:c r="E2" s="3"/>
      <x:c r="F2" s="3"/>
      <x:c r="G2" s="3"/>
      <x:c r="H2" s="3"/>
    </x:row>
    <x:row r="3" ht="27" customHeight="1">
      <x:c r="A3" s="2"/>
      <x:c r="B3" s="2"/>
      <x:c r="C3" s="2"/>
      <x:c r="D3" s="2"/>
      <x:c r="E3" s="2"/>
      <x:c r="F3" s="2"/>
      <x:c r="G3" s="2"/>
      <x:c r="H3" s="2"/>
    </x:row>
    <x:row r="4" ht="27" customHeight="1">
      <x:c r="A4" s="2" t="str">
        <x:v>总金额（元）</x:v>
      </x:c>
      <x:c r="B4" s="5" t="n">
        <x:f>SUM(F8:F15)</x:f>
        <x:v>2456.5</x:v>
      </x:c>
      <x:c r="C4" s="2"/>
      <x:c r="D4" s="2" t="str">
        <x:v>已验收项数</x:v>
      </x:c>
      <x:c r="E4" s="6" t="n">
        <x:f>COUNTIFS(G8:G15,"已验收")</x:f>
        <x:v>6</x:v>
      </x:c>
      <x:c r="F4" s="2"/>
      <x:c r="G4" s="2"/>
      <x:c r="H4" s="2"/>
    </x:row>
    <x:row r="5" ht="27" customHeight="1">
      <x:c r="A5" s="2" t="str">
        <x:v>总数量</x:v>
      </x:c>
      <x:c r="B5" s="6" t="n">
        <x:f>SUM(D8:D15)</x:f>
        <x:v>24</x:v>
      </x:c>
      <x:c r="C5" s="2"/>
      <x:c r="D5" s="2" t="str">
        <x:v>待验收项数</x:v>
      </x:c>
      <x:c r="E5" s="6" t="n">
        <x:f>COUNTIFS(G8:G15,"待验收")</x:f>
        <x:v>2</x:v>
      </x:c>
      <x:c r="F5" s="2"/>
      <x:c r="G5" s="2"/>
      <x:c r="H5" s="2"/>
    </x:row>
    <x:row r="6" ht="27" customHeight="1">
      <x:c r="A6" s="2"/>
      <x:c r="B6" s="2"/>
      <x:c r="C6" s="2"/>
      <x:c r="D6" s="2"/>
      <x:c r="E6" s="2"/>
      <x:c r="F6" s="2"/>
      <x:c r="G6" s="2"/>
      <x:c r="H6" s="2"/>
    </x:row>
    <x:row r="7" ht="30" customHeight="1">
      <x:c r="A7" s="13" t="str">
        <x:v>编码</x:v>
      </x:c>
      <x:c r="B7" s="14" t="str">
        <x:v>物料</x:v>
      </x:c>
      <x:c r="C7" s="14" t="str">
        <x:v>日期</x:v>
      </x:c>
      <x:c r="D7" s="14" t="str">
        <x:v>数量</x:v>
      </x:c>
      <x:c r="E7" s="14" t="str">
        <x:v>单价（元）</x:v>
      </x:c>
      <x:c r="F7" s="14" t="str">
        <x:v>金额（元）</x:v>
      </x:c>
      <x:c r="G7" s="14" t="str">
        <x:v>验收状态</x:v>
      </x:c>
      <x:c r="H7" s="15" t="str">
        <x:v>备注</x:v>
      </x:c>
    </x:row>
    <x:row r="8" ht="27" customHeight="1">
      <x:c r="A8" s="7" t="str">
        <x:v>001</x:v>
      </x:c>
      <x:c r="B8" s="2" t="str">
        <x:v>显示器支架</x:v>
      </x:c>
      <x:c r="C8" s="8" t="n">
        <x:v>46285</x:v>
      </x:c>
      <x:c r="D8" s="16" t="n">
        <x:v>2</x:v>
      </x:c>
      <x:c r="E8" s="17" t="n">
        <x:v>129.5</x:v>
      </x:c>
      <x:c r="F8" s="4" t="n">
        <x:f>ROUND(D8*E8,2)</x:f>
        <x:v>259</x:v>
      </x:c>
      <x:c r="G8" s="2" t="str">
        <x:v>已验收</x:v>
      </x:c>
      <x:c r="H8" s="18" t="str">
        <x:v>含支架,转接头</x:v>
      </x:c>
    </x:row>
    <x:row r="9" ht="27" customHeight="1">
      <x:c r="A9" s="7" t="str">
        <x:v>002</x:v>
      </x:c>
      <x:c r="B9" s="2" t="str">
        <x:v>USB-C 扩展坞</x:v>
      </x:c>
      <x:c r="C9" s="8" t="n">
        <x:v>46286</x:v>
      </x:c>
      <x:c r="D9" s="16" t="n">
        <x:v>3</x:v>
      </x:c>
      <x:c r="E9" s="17" t="n">
        <x:v>239</x:v>
      </x:c>
      <x:c r="F9" s="4" t="n">
        <x:f>ROUND(D9*E9,2)</x:f>
        <x:v>717</x:v>
      </x:c>
      <x:c r="G9" s="2" t="str">
        <x:v>已验收</x:v>
      </x:c>
      <x:c r="H9" s="18" t="str">
        <x:v>标签为 "A类"</x:v>
      </x:c>
    </x:row>
    <x:row r="10" ht="43" customHeight="1">
      <x:c r="A10" s="7" t="str">
        <x:v>003</x:v>
      </x:c>
      <x:c r="B10" s="2" t="str">
        <x:v>无线键盘</x:v>
      </x:c>
      <x:c r="C10" s="8" t="n">
        <x:v>46287</x:v>
      </x:c>
      <x:c r="D10" s="16" t="n">
        <x:v>2</x:v>
      </x:c>
      <x:c r="E10" s="17" t="n">
        <x:v>189</x:v>
      </x:c>
      <x:c r="F10" s="4" t="n">
        <x:f>ROUND(D10*E10,2)</x:f>
        <x:v>378</x:v>
      </x:c>
      <x:c r="G10" s="2" t="str">
        <x:v>已验收</x:v>
      </x:c>
      <x:c r="H10" s="18" t="str">
        <x:v>第一行备注
第二行备注</x:v>
      </x:c>
    </x:row>
    <x:row r="11" ht="27" customHeight="1">
      <x:c r="A11" s="7" t="str">
        <x:v>004</x:v>
      </x:c>
      <x:c r="B11" s="2" t="str">
        <x:v>鼠标垫</x:v>
      </x:c>
      <x:c r="C11" s="8" t="n">
        <x:v>46288</x:v>
      </x:c>
      <x:c r="D11" s="16" t="n">
        <x:v>5</x:v>
      </x:c>
      <x:c r="E11" s="17" t="n">
        <x:v>29.9</x:v>
      </x:c>
      <x:c r="F11" s="4" t="n">
        <x:f>ROUND(D11*E11,2)</x:f>
        <x:v>149.5</x:v>
      </x:c>
      <x:c r="G11" s="2" t="str">
        <x:v>待验收</x:v>
      </x:c>
      <x:c r="H11" s="18" t="str">
        <x:v>待核对颜色</x:v>
      </x:c>
    </x:row>
    <x:row r="12" ht="27" customHeight="1">
      <x:c r="A12" s="7" t="str">
        <x:v>005</x:v>
      </x:c>
      <x:c r="B12" s="2" t="str">
        <x:v>移动硬盘</x:v>
      </x:c>
      <x:c r="C12" s="8" t="n">
        <x:v>46289</x:v>
      </x:c>
      <x:c r="D12" s="16" t="n">
        <x:v>1</x:v>
      </x:c>
      <x:c r="E12" s="17" t="n">
        <x:v>499</x:v>
      </x:c>
      <x:c r="F12" s="4" t="n">
        <x:f>ROUND(D12*E12,2)</x:f>
        <x:v>499</x:v>
      </x:c>
      <x:c r="G12" s="2" t="str">
        <x:v>已验收</x:v>
      </x:c>
      <x:c r="H12" s="18" t="str"/>
    </x:row>
    <x:row r="13" ht="27" customHeight="1">
      <x:c r="A13" s="7" t="str">
        <x:v>006</x:v>
      </x:c>
      <x:c r="B13" s="2" t="str">
        <x:v>网线</x:v>
      </x:c>
      <x:c r="C13" s="8" t="n">
        <x:v>46290</x:v>
      </x:c>
      <x:c r="D13" s="16" t="n">
        <x:v>10</x:v>
      </x:c>
      <x:c r="E13" s="17" t="n">
        <x:v>12.5</x:v>
      </x:c>
      <x:c r="F13" s="4" t="n">
        <x:f>ROUND(D13*E13,2)</x:f>
        <x:v>125</x:v>
      </x:c>
      <x:c r="G13" s="2" t="str">
        <x:v>已验收</x:v>
      </x:c>
      <x:c r="H13" s="18" t="str">
        <x:v>长度 2 米</x:v>
      </x:c>
    </x:row>
    <x:row r="14" ht="27" customHeight="1">
      <x:c r="A14" s="7" t="str">
        <x:v>007</x:v>
      </x:c>
      <x:c r="B14" s="2" t="str">
        <x:v>摄像头</x:v>
      </x:c>
      <x:c r="C14" s="8" t="n">
        <x:v>46291</x:v>
      </x:c>
      <x:c r="D14" s="16" t="n">
        <x:v>1</x:v>
      </x:c>
      <x:c r="E14" s="17" t="n">
        <x:v>329</x:v>
      </x:c>
      <x:c r="F14" s="4" t="n">
        <x:f>ROUND(D14*E14,2)</x:f>
        <x:v>329</x:v>
      </x:c>
      <x:c r="G14" s="2" t="str">
        <x:v>待验收</x:v>
      </x:c>
      <x:c r="H14" s="18" t="str">
        <x:v>待核对图像</x:v>
      </x:c>
    </x:row>
    <x:row r="15" ht="27" customHeight="1">
      <x:c r="A15" s="7" t="str">
        <x:v>008</x:v>
      </x:c>
      <x:c r="B15" s="2" t="str">
        <x:v>备用螺丝</x:v>
      </x:c>
      <x:c r="C15" s="8" t="n">
        <x:v>46292</x:v>
      </x:c>
      <x:c r="D15" s="16" t="n">
        <x:v>0</x:v>
      </x:c>
      <x:c r="E15" s="17" t="n">
        <x:v>9.9</x:v>
      </x:c>
      <x:c r="F15" s="4" t="n">
        <x:f>ROUND(D15*E15,2)</x:f>
        <x:v>0</x:v>
      </x:c>
      <x:c r="G15" s="2" t="str">
        <x:v>已验收</x:v>
      </x:c>
      <x:c r="H15" s="18" t="str">
        <x:v>零数量测试</x:v>
      </x:c>
    </x:row>
    <x:row r="16" ht="27" customHeight="1">
      <x:c r="A16" s="22" t="str">
        <x:v>合计</x:v>
      </x:c>
      <x:c r="B16" s="22"/>
      <x:c r="C16" s="22"/>
      <x:c r="D16" s="23" t="n">
        <x:f>B5</x:f>
        <x:v>24</x:v>
      </x:c>
      <x:c r="E16" s="24"/>
      <x:c r="F16" s="24" t="n">
        <x:f>B4</x:f>
        <x:v>2456.5</x:v>
      </x:c>
      <x:c r="G16" s="22"/>
      <x:c r="H16" s="22"/>
    </x:row>
    <x:row r="17" ht="27" customHeight="1">
      <x:c r="A17" s="2"/>
      <x:c r="B17" s="2"/>
      <x:c r="C17" s="2"/>
      <x:c r="D17" s="2"/>
      <x:c r="E17" s="2"/>
      <x:c r="F17" s="2"/>
      <x:c r="G17" s="2"/>
      <x:c r="H17" s="2"/>
    </x:row>
    <x:row r="18" ht="27" customHeight="1">
      <x:c r="A18" s="25" t="str">
        <x:v>蓝色数字可修改，金额列由公式计算。</x:v>
      </x:c>
      <x:c r="B18" s="25"/>
      <x:c r="C18" s="25"/>
      <x:c r="D18" s="25"/>
      <x:c r="E18" s="25"/>
      <x:c r="F18" s="25"/>
      <x:c r="G18" s="25"/>
      <x:c r="H18" s="25"/>
    </x:row>
    <x:row r="19" ht="27" customHeight="1">
      <x:c r="A19" s="25" t="str">
        <x:v>数据为本次生成的八条测试记录。</x:v>
      </x:c>
      <x:c r="B19" s="25"/>
      <x:c r="C19" s="25"/>
      <x:c r="D19" s="25"/>
      <x:c r="E19" s="25"/>
      <x:c r="F19" s="25"/>
      <x:c r="G19" s="25"/>
      <x:c r="H19" s="25"/>
    </x:row>
  </x:sheetData>
  <x:conditionalFormatting sqref="G8:G15">
    <x:cfRule type="containsText" dxfId="0" priority="1" operator="containsText" text="待验收"/>
  </x:conditionalFormatting>
  <x:pageMargins left="0.3" right="0.3" top="0.45" bottom="0.45" header="0.2" footer="0.2"/>
  <x:pageSetup paperSize="9" orientation="landscape" fitToWidth="1" fitToHeight="1"/>
  <x:tableParts count="1">
    <x:tablePart xmlns:r="http://schemas.openxmlformats.org/officeDocument/2006/relationships" r:id="Rdf9b916972a64223"/>
  </x:tableParts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5" hidden="0" customWidth="1"/>
  </x:cols>
  <x:sheetData>
    <x:row r="1" ht="29" customHeight="1">
      <x:c r="A1" s="2"/>
      <x:c r="B1" s="2"/>
      <x:c r="C1" s="2"/>
      <x:c r="D1" s="2"/>
    </x:row>
    <x:row r="2" ht="29" customHeight="1">
      <x:c r="A2" s="3" t="str">
        <x:v>公式与跨表引用验证</x:v>
      </x:c>
      <x:c r="B2" s="3"/>
      <x:c r="C2" s="3"/>
      <x:c r="D2" s="3"/>
    </x:row>
    <x:row r="3" ht="29" customHeight="1">
      <x:c r="A3" s="2"/>
      <x:c r="B3" s="2"/>
      <x:c r="C3" s="2"/>
      <x:c r="D3" s="2"/>
    </x:row>
    <x:row r="4" ht="29" customHeight="1">
      <x:c r="A4" s="2"/>
      <x:c r="B4" s="2"/>
      <x:c r="C4" s="2"/>
      <x:c r="D4" s="2"/>
    </x:row>
    <x:row r="5" ht="29" customHeight="1">
      <x:c r="A5" s="12" t="str">
        <x:v>验证项</x:v>
      </x:c>
      <x:c r="B5" s="12" t="str">
        <x:v>当前值</x:v>
      </x:c>
      <x:c r="C5" s="12" t="str">
        <x:v>初始预期</x:v>
      </x:c>
      <x:c r="D5" s="12" t="str">
        <x:v>对照结果</x:v>
      </x:c>
    </x:row>
    <x:row r="6" ht="29" customHeight="1">
      <x:c r="A6" s="2" t="str">
        <x:v>总金额（元）</x:v>
      </x:c>
      <x:c r="B6" s="4" t="n">
        <x:f>'采购明细'!B4</x:f>
        <x:v>2456.5</x:v>
      </x:c>
      <x:c r="C6" s="4" t="n">
        <x:v>2456.5</x:v>
      </x:c>
      <x:c r="D6" s="2" t="str">
        <x:f>IF(B6=C6,"一致","已改变")</x:f>
        <x:v>一致</x:v>
      </x:c>
    </x:row>
    <x:row r="7" ht="29" customHeight="1">
      <x:c r="A7" s="2" t="str">
        <x:v>总数量</x:v>
      </x:c>
      <x:c r="B7" s="2" t="n">
        <x:f>'采购明细'!B5</x:f>
        <x:v>24</x:v>
      </x:c>
      <x:c r="C7" s="2" t="n">
        <x:v>24</x:v>
      </x:c>
      <x:c r="D7" s="2" t="str">
        <x:f>IF(B7=C7,"一致","已改变")</x:f>
        <x:v>一致</x:v>
      </x:c>
    </x:row>
    <x:row r="8" ht="29" customHeight="1">
      <x:c r="A8" s="2" t="str">
        <x:v>已验收项数</x:v>
      </x:c>
      <x:c r="B8" s="2" t="n">
        <x:f>'采购明细'!E4</x:f>
        <x:v>6</x:v>
      </x:c>
      <x:c r="C8" s="2" t="n">
        <x:v>6</x:v>
      </x:c>
      <x:c r="D8" s="2" t="str">
        <x:f>IF(B8=C8,"一致","已改变")</x:f>
        <x:v>一致</x:v>
      </x:c>
    </x:row>
    <x:row r="9" ht="29" customHeight="1">
      <x:c r="A9" s="2" t="str">
        <x:v>待验收项数</x:v>
      </x:c>
      <x:c r="B9" s="2" t="n">
        <x:f>'采购明细'!E5</x:f>
        <x:v>2</x:v>
      </x:c>
      <x:c r="C9" s="2" t="n">
        <x:v>2</x:v>
      </x:c>
      <x:c r="D9" s="2" t="str">
        <x:f>IF(B9=C9,"一致","已改变")</x:f>
        <x:v>一致</x:v>
      </x:c>
    </x:row>
    <x:row r="10" ht="29" customHeight="1">
      <x:c r="A10" s="2"/>
      <x:c r="B10" s="2"/>
      <x:c r="C10" s="2"/>
      <x:c r="D10" s="2"/>
    </x:row>
    <x:row r="11" ht="29" customHeight="1">
      <x:c r="A11" s="2"/>
      <x:c r="B11" s="2"/>
      <x:c r="C11" s="2"/>
      <x:c r="D11" s="2"/>
    </x:row>
    <x:row r="12" ht="29" customHeight="1">
      <x:c r="A12" s="25" t="str">
        <x:v>将采购明细 D8 从 2 改为 4，观察公式重算。</x:v>
      </x:c>
      <x:c r="B12" s="25"/>
      <x:c r="C12" s="25"/>
      <x:c r="D12" s="25"/>
    </x:row>
    <x:row r="13" ht="29" customHeight="1">
      <x:c r="A13" s="25" t="str">
        <x:v>金额应变为 2715.50 元，数量变为 26。</x:v>
      </x:c>
      <x:c r="B13" s="25"/>
      <x:c r="C13" s="25"/>
      <x:c r="D13" s="25"/>
    </x:row>
    <x:row r="14" ht="29" customHeight="1">
      <x:c r="A14" s="2"/>
      <x:c r="B14" s="2"/>
      <x:c r="C14" s="2"/>
      <x:c r="D14" s="2"/>
    </x:row>
  </x:sheetData>
  <x:conditionalFormatting sqref="D6:D9">
    <x:cfRule type="containsText" dxfId="1" priority="1" operator="containsText" text="已改变"/>
  </x:conditionalFormatting>
  <x:pageMargins left="0.3" right="0.3" top="0.45" bottom="0.45" header="0.2" footer="0.2"/>
  <x:pageSetup paperSize="9" orientation="landscape" fitToWidth="1" fitToHeight="1"/>
</x:worksheet>
</file>